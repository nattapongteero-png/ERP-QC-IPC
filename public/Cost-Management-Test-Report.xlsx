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Unit Tests" sheetId="2" state="visible" r:id="rId3"/>
    <sheet name="Integration Tests" sheetId="3" state="visible" r:id="rId4"/>
    <sheet name="Function Coverag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<sst xmlns="http://schemas.openxmlformats.org/spreadsheetml/2006/main" count="522" uniqueCount="224">
  <si>
    <t xml:space="preserve">Cost Management Module - Test Report</t>
  </si>
  <si>
    <t xml:space="preserve">Feature: 014-unit-cost | Generated: 2026-03-27</t>
  </si>
  <si>
    <t xml:space="preserve">Metric</t>
  </si>
  <si>
    <t xml:space="preserve">Unit Tests</t>
  </si>
  <si>
    <t xml:space="preserve">Integration Tests</t>
  </si>
  <si>
    <t xml:space="preserve">Total</t>
  </si>
  <si>
    <t xml:space="preserve">Total Tests</t>
  </si>
  <si>
    <t xml:space="preserve">Passed</t>
  </si>
  <si>
    <t xml:space="preserve">Skipped</t>
  </si>
  <si>
    <t xml:space="preserve">Failed</t>
  </si>
  <si>
    <t xml:space="preserve">Pass Rate</t>
  </si>
  <si>
    <t xml:space="preserve">Expect() Calls</t>
  </si>
  <si>
    <t xml:space="preserve">Runtime (ms)</t>
  </si>
  <si>
    <t xml:space="preserve">Test Coverage by Area</t>
  </si>
  <si>
    <t xml:space="preserve">Area</t>
  </si>
  <si>
    <t xml:space="preserve">WAC Calculation</t>
  </si>
  <si>
    <t xml:space="preserve">getItemWAC</t>
  </si>
  <si>
    <t xml:space="preserve">Cost Views</t>
  </si>
  <si>
    <t xml:space="preserve">Pure Calculations</t>
  </si>
  <si>
    <t xml:space="preserve">Cost Layers</t>
  </si>
  <si>
    <t xml:space="preserve">Work Centers CRUD</t>
  </si>
  <si>
    <t xml:space="preserve">Overhead Rates</t>
  </si>
  <si>
    <t xml:space="preserve">Landed Costs</t>
  </si>
  <si>
    <t xml:space="preserve">COGS</t>
  </si>
  <si>
    <t xml:space="preserve">Work Order Costs</t>
  </si>
  <si>
    <t xml:space="preserve">Dashboard &amp; Reports</t>
  </si>
  <si>
    <t xml:space="preserve">TOTAL</t>
  </si>
  <si>
    <t xml:space="preserve">#</t>
  </si>
  <si>
    <t xml:space="preserve">Test Case</t>
  </si>
  <si>
    <t xml:space="preserve">Section</t>
  </si>
  <si>
    <t xml:space="preserve">Description</t>
  </si>
  <si>
    <t xml:space="preserve">Status</t>
  </si>
  <si>
    <t xml:space="preserve">should calculate WAC correctly for new receipt</t>
  </si>
  <si>
    <t xml:space="preserve">ทดสอบคำนวณ WAC สำหรับรับของใหม่ (100kg@50 + 50kg@60 = 53.33)</t>
  </si>
  <si>
    <t xml:space="preserve">PASS</t>
  </si>
  <si>
    <t xml:space="preserve">should calculate WAC for first receipt (zero inventory)</t>
  </si>
  <si>
    <t xml:space="preserve">ทดสอบรับของครั้งแรก สินค้ายังไม่มี stock</t>
  </si>
  <si>
    <t xml:space="preserve">should handle multiple sequential receipts</t>
  </si>
  <si>
    <t xml:space="preserve">ทดสอบรับของหลายครั้งติดต่อกัน คำนวณ WAC สะสม</t>
  </si>
  <si>
    <t xml:space="preserve">should handle adjustment (reduction) at current WAC</t>
  </si>
  <si>
    <t xml:space="preserve">ทดสอบปรับลดสินค้า WAC ไม่เปลี่ยน</t>
  </si>
  <si>
    <t xml:space="preserve">should prevent negative inventory</t>
  </si>
  <si>
    <t xml:space="preserve">ทดสอบป้องกัน stock ติดลบ</t>
  </si>
  <si>
    <t xml:space="preserve">should throw error for non-existent item</t>
  </si>
  <si>
    <t xml:space="preserve">ทดสอบ item ไม่มีในระบบ</t>
  </si>
  <si>
    <t xml:space="preserve">should create cost layer with transaction notes</t>
  </si>
  <si>
    <t xml:space="preserve">ทดสอบบันทึก cost layer พร้อม notes</t>
  </si>
  <si>
    <t xml:space="preserve">should return current WAC when set</t>
  </si>
  <si>
    <t xml:space="preserve">ดึง WAC ที่ตั้งไว้</t>
  </si>
  <si>
    <t xml:space="preserve">should calculate WAC from on_hand_cost/on_hand</t>
  </si>
  <si>
    <t xml:space="preserve">คำนวณ WAC จาก cost/qty</t>
  </si>
  <si>
    <t xml:space="preserve">should return null for non-existent item</t>
  </si>
  <si>
    <t xml:space="preserve">คืน null สำหรับ item ไม่มี</t>
  </si>
  <si>
    <t xml:space="preserve">should return 0 for zero inventory</t>
  </si>
  <si>
    <t xml:space="preserve">คืน 0 เมื่อ stock เป็น 0</t>
  </si>
  <si>
    <t xml:space="preserve">should return all cost perspectives</t>
  </si>
  <si>
    <t xml:space="preserve">แสดง WAC, Standard, Last Purchase, Last Production, Full Cost</t>
  </si>
  <si>
    <t xml:space="preserve">should handle item with no cost data</t>
  </si>
  <si>
    <t xml:space="preserve">จัดการ item ที่ไม่มีข้อมูลต้นทุน</t>
  </si>
  <si>
    <t xml:space="preserve">should calculate with SGA allocation</t>
  </si>
  <si>
    <t xml:space="preserve">calculateFullCost</t>
  </si>
  <si>
    <t xml:space="preserve">Full Cost = WAC × (1 + SGA%)</t>
  </si>
  <si>
    <t xml:space="preserve">should return null for null input</t>
  </si>
  <si>
    <t xml:space="preserve">คืน null ถ้าไม่มี inventory cost</t>
  </si>
  <si>
    <t xml:space="preserve">should handle zero SGA</t>
  </si>
  <si>
    <t xml:space="preserve">SGA = 0 → Full Cost = WAC</t>
  </si>
  <si>
    <t xml:space="preserve">should calculate price from margin</t>
  </si>
  <si>
    <t xml:space="preserve">calculateSuggestedPrice</t>
  </si>
  <si>
    <t xml:space="preserve">Price = Cost / (1 - margin%)</t>
  </si>
  <si>
    <t xml:space="preserve">คืน null ถ้าไม่มี full cost</t>
  </si>
  <si>
    <t xml:space="preserve">should handle zero margin</t>
  </si>
  <si>
    <t xml:space="preserve">Margin 0% → Price = Cost</t>
  </si>
  <si>
    <t xml:space="preserve">should return empty when no layers exist</t>
  </si>
  <si>
    <t xml:space="preserve">ไม่มี layer → empty list</t>
  </si>
  <si>
    <t xml:space="preserve">should return layers after WAC recalculations</t>
  </si>
  <si>
    <t xml:space="preserve">มี layers หลังคำนวณ WAC</t>
  </si>
  <si>
    <t xml:space="preserve">should paginate results</t>
  </si>
  <si>
    <t xml:space="preserve">แบ่งหน้า 5 layers / page 2</t>
  </si>
  <si>
    <t xml:space="preserve">should create a work center</t>
  </si>
  <si>
    <t xml:space="preserve">Work Centers</t>
  </si>
  <si>
    <t xml:space="preserve">สร้าง WC พร้อม rates</t>
  </si>
  <si>
    <t xml:space="preserve">should reject duplicate code</t>
  </si>
  <si>
    <t xml:space="preserve">ป้องกัน code ซ้ำ</t>
  </si>
  <si>
    <t xml:space="preserve">should get work center by ID with correct name</t>
  </si>
  <si>
    <t xml:space="preserve">ดึง WC + ชื่อถูกต้อง</t>
  </si>
  <si>
    <t xml:space="preserve">should return null for non-existent</t>
  </si>
  <si>
    <t xml:space="preserve">คืน null สำหรับ WC ไม่มี</t>
  </si>
  <si>
    <t xml:space="preserve">should update work center fields</t>
  </si>
  <si>
    <t xml:space="preserve">อัปเดต name, rate</t>
  </si>
  <si>
    <t xml:space="preserve">should delete (deactivate)</t>
  </si>
  <si>
    <t xml:space="preserve">ลบ = ปิดใช้งาน</t>
  </si>
  <si>
    <t xml:space="preserve">should list with pagination</t>
  </si>
  <si>
    <t xml:space="preserve">แสดงรายการ + แบ่งหน้า</t>
  </si>
  <si>
    <t xml:space="preserve">should filter by active status</t>
  </si>
  <si>
    <t xml:space="preserve">กรอง Active/Inactive</t>
  </si>
  <si>
    <t xml:space="preserve">should search by name or code</t>
  </si>
  <si>
    <t xml:space="preserve">ค้นหา WC</t>
  </si>
  <si>
    <t xml:space="preserve">should include org unit name</t>
  </si>
  <si>
    <t xml:space="preserve">แสดงชื่อหน่วยงาน</t>
  </si>
  <si>
    <t xml:space="preserve">should create an overhead rate</t>
  </si>
  <si>
    <t xml:space="preserve">สร้าง overhead rate</t>
  </si>
  <si>
    <t xml:space="preserve">should get overhead rate by ID</t>
  </si>
  <si>
    <t xml:space="preserve">ดึง rate ตาม ID</t>
  </si>
  <si>
    <t xml:space="preserve">should update overhead rate</t>
  </si>
  <si>
    <t xml:space="preserve">อัปเดต rate</t>
  </si>
  <si>
    <t xml:space="preserve">should generate unique document numbers</t>
  </si>
  <si>
    <t xml:space="preserve">สร้างเลขเอกสาร LC</t>
  </si>
  <si>
    <t xml:space="preserve">should create with lines</t>
  </si>
  <si>
    <t xml:space="preserve">สร้าง LC + รายการค่าใช้จ่าย</t>
  </si>
  <si>
    <t xml:space="preserve">should get with lines</t>
  </si>
  <si>
    <t xml:space="preserve">ดึง LC + รายการ</t>
  </si>
  <si>
    <t xml:space="preserve">should list landed costs</t>
  </si>
  <si>
    <t xml:space="preserve">แสดงรายการ LC</t>
  </si>
  <si>
    <t xml:space="preserve">should update draft</t>
  </si>
  <si>
    <t xml:space="preserve">แก้ไข LC สถานะ draft</t>
  </si>
  <si>
    <t xml:space="preserve">should delete draft</t>
  </si>
  <si>
    <t xml:space="preserve">ลบ LC สถานะ draft</t>
  </si>
  <si>
    <t xml:space="preserve">should allocate cost to PO items by value</t>
  </si>
  <si>
    <t xml:space="preserve">จัดสรรค่าใช้จ่ายตามมูลค่า (ต้อง schema เพิ่มเติม)</t>
  </si>
  <si>
    <t xml:space="preserve">SKIP</t>
  </si>
  <si>
    <t xml:space="preserve">should calculate COGS and margin</t>
  </si>
  <si>
    <t xml:space="preserve">COGS = qty × WAC, Margin% = 37.5%</t>
  </si>
  <si>
    <t xml:space="preserve">should handle item with zero WAC</t>
  </si>
  <si>
    <t xml:space="preserve">WAC = 0 → COGS = 0</t>
  </si>
  <si>
    <t xml:space="preserve">should upsert work order cost</t>
  </si>
  <si>
    <t xml:space="preserve">WO Costs</t>
  </si>
  <si>
    <t xml:space="preserve">บันทึก/อัปเดตต้นทุน WO</t>
  </si>
  <si>
    <t xml:space="preserve">should get cost summary</t>
  </si>
  <si>
    <t xml:space="preserve">ดึงสรุปต้นทุน WO</t>
  </si>
  <si>
    <t xml:space="preserve">คืน null สำหรับ WO ไม่มี</t>
  </si>
  <si>
    <t xml:space="preserve">should track WAC across 5 receipts with audit trail</t>
  </si>
  <si>
    <t xml:space="preserve">WAC Workflow</t>
  </si>
  <si>
    <t xml:space="preserve">ทดสอบ WAC 5 รอบ: 40→43.33→44.29→46.67→45.50 + audit</t>
  </si>
  <si>
    <t xml:space="preserve">should maintain WAC after reduction then new receipt</t>
  </si>
  <si>
    <t xml:space="preserve">ลด stock + รับใหม่ → WAC ถูกต้อง</t>
  </si>
  <si>
    <t xml:space="preserve">should generate document numbers with consistent format</t>
  </si>
  <si>
    <t xml:space="preserve">Landed Cost</t>
  </si>
  <si>
    <t xml:space="preserve">ตรวจ format เลขเอกสาร LC</t>
  </si>
  <si>
    <t xml:space="preserve">should create and allocate proportionally</t>
  </si>
  <si>
    <t xml:space="preserve">สร้าง + จัดสรรตามมูลค่า (ต้อง schema เพิ่มเติม)</t>
  </si>
  <si>
    <t xml:space="preserve">should calculate full cost and suggested price</t>
  </si>
  <si>
    <t xml:space="preserve">Full Cost + Suggested Price (margin 30%)</t>
  </si>
  <si>
    <t xml:space="preserve">Item ใหม่ไม่มีต้นทุน</t>
  </si>
  <si>
    <t xml:space="preserve">should list with org unit names resolved</t>
  </si>
  <si>
    <t xml:space="preserve">Work Center</t>
  </si>
  <si>
    <t xml:space="preserve">แสดง WC + ชื่อหน่วยงาน</t>
  </si>
  <si>
    <t xml:space="preserve">should preserve name after partial update</t>
  </si>
  <si>
    <t xml:space="preserve">อัปเดต rate ชื่อไม่หาย</t>
  </si>
  <si>
    <t xml:space="preserve">should calculate profit margin correctly</t>
  </si>
  <si>
    <t xml:space="preserve">Margin 40% (Cost 150, Sell 250)</t>
  </si>
  <si>
    <t xml:space="preserve">should handle loss scenario</t>
  </si>
  <si>
    <t xml:space="preserve">ขายต่ำกว่าทุน → Margin ติดลบ</t>
  </si>
  <si>
    <t xml:space="preserve">should handle zero selling price</t>
  </si>
  <si>
    <t xml:space="preserve">ราคาขาย 0 → ขาดทุนเท่าทุน</t>
  </si>
  <si>
    <t xml:space="preserve">should track full cost breakdown</t>
  </si>
  <si>
    <t xml:space="preserve">Production Cost</t>
  </si>
  <si>
    <t xml:space="preserve">Material + Labor + Overhead + Unit Cost</t>
  </si>
  <si>
    <t xml:space="preserve">should update cost on subsequent upsert</t>
  </si>
  <si>
    <t xml:space="preserve">อัปเดตต้นทุนจริง</t>
  </si>
  <si>
    <t xml:space="preserve">should return correct rate for given date</t>
  </si>
  <si>
    <t xml:space="preserve">Overhead Rate</t>
  </si>
  <si>
    <t xml:space="preserve">Q1 = 25, Q2 = 30 ตามช่วงวันที่</t>
  </si>
  <si>
    <t xml:space="preserve">should return dashboard KPIs</t>
  </si>
  <si>
    <t xml:space="preserve">Dashboard</t>
  </si>
  <si>
    <t xml:space="preserve">KPIs: inventoryValue</t>
  </si>
  <si>
    <t xml:space="preserve">should return cost summary report</t>
  </si>
  <si>
    <t xml:space="preserve">รายงานสรุปต้นทุน</t>
  </si>
  <si>
    <t xml:space="preserve">should return cost trend data</t>
  </si>
  <si>
    <t xml:space="preserve">ข้อมูล trend 6 เดือน</t>
  </si>
  <si>
    <t xml:space="preserve">should return top cost increases</t>
  </si>
  <si>
    <t xml:space="preserve">รายการต้นทุนเพิ่มสูงสุด</t>
  </si>
  <si>
    <t xml:space="preserve">Function</t>
  </si>
  <si>
    <t xml:space="preserve">Category</t>
  </si>
  <si>
    <t xml:space="preserve">Unit Test</t>
  </si>
  <si>
    <t xml:space="preserve">Integration Test</t>
  </si>
  <si>
    <t xml:space="preserve">Covered</t>
  </si>
  <si>
    <t xml:space="preserve">recalculateWAC</t>
  </si>
  <si>
    <t xml:space="preserve">WAC</t>
  </si>
  <si>
    <t xml:space="preserve">Y</t>
  </si>
  <si>
    <t xml:space="preserve">getItemCostViews</t>
  </si>
  <si>
    <t xml:space="preserve">getItemCostViewsWithPrice</t>
  </si>
  <si>
    <t xml:space="preserve">N</t>
  </si>
  <si>
    <t xml:space="preserve">Pure Calc</t>
  </si>
  <si>
    <t xml:space="preserve">calculateCOGS</t>
  </si>
  <si>
    <t xml:space="preserve">updateSOLineWithCOGS</t>
  </si>
  <si>
    <t xml:space="preserve">listItemCostLayers</t>
  </si>
  <si>
    <t xml:space="preserve">getCostLayer</t>
  </si>
  <si>
    <t xml:space="preserve">listWorkCenters</t>
  </si>
  <si>
    <t xml:space="preserve">getWorkCenter</t>
  </si>
  <si>
    <t xml:space="preserve">createWorkCenter</t>
  </si>
  <si>
    <t xml:space="preserve">updateWorkCenter</t>
  </si>
  <si>
    <t xml:space="preserve">deleteWorkCenter</t>
  </si>
  <si>
    <t xml:space="preserve">generateLandedCostDocNumber</t>
  </si>
  <si>
    <t xml:space="preserve">createLandedCost</t>
  </si>
  <si>
    <t xml:space="preserve">getLandedCost</t>
  </si>
  <si>
    <t xml:space="preserve">updateLandedCost</t>
  </si>
  <si>
    <t xml:space="preserve">deleteLandedCost</t>
  </si>
  <si>
    <t xml:space="preserve">listLandedCosts</t>
  </si>
  <si>
    <t xml:space="preserve">allocateLandedCost</t>
  </si>
  <si>
    <t xml:space="preserve">postLandedCost</t>
  </si>
  <si>
    <t xml:space="preserve">listOverheadRates</t>
  </si>
  <si>
    <t xml:space="preserve">Overhead</t>
  </si>
  <si>
    <t xml:space="preserve">getOverheadRate</t>
  </si>
  <si>
    <t xml:space="preserve">createOverheadRate</t>
  </si>
  <si>
    <t xml:space="preserve">updateOverheadRate</t>
  </si>
  <si>
    <t xml:space="preserve">getEffectiveOverheadRate</t>
  </si>
  <si>
    <t xml:space="preserve">getWorkOrderOperations</t>
  </si>
  <si>
    <t xml:space="preserve">Production</t>
  </si>
  <si>
    <t xml:space="preserve">createWorkOrderOperations</t>
  </si>
  <si>
    <t xml:space="preserve">updateWorkOrderOperation</t>
  </si>
  <si>
    <t xml:space="preserve">getWorkOrderCost</t>
  </si>
  <si>
    <t xml:space="preserve">upsertWorkOrderCost</t>
  </si>
  <si>
    <t xml:space="preserve">calculateWorkOrderCost</t>
  </si>
  <si>
    <t xml:space="preserve">getWorkOrderCostSummary</t>
  </si>
  <si>
    <t xml:space="preserve">updateFinishedGoodsWAC</t>
  </si>
  <si>
    <t xml:space="preserve">getCostDashboardKPIs</t>
  </si>
  <si>
    <t xml:space="preserve">getTopCostIncreases</t>
  </si>
  <si>
    <t xml:space="preserve">getCostTrend</t>
  </si>
  <si>
    <t xml:space="preserve">getCostSummaryReport</t>
  </si>
  <si>
    <t xml:space="preserve">Reports</t>
  </si>
  <si>
    <t xml:space="preserve">getProductionCostReport</t>
  </si>
  <si>
    <t xml:space="preserve">COVERAGE SUMMARY</t>
  </si>
  <si>
    <t xml:space="preserve">TOTAL FUNCTIONS</t>
  </si>
  <si>
    <t xml:space="preserve">COVERAGE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</si>
</sst>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Cambria"/>
      <family val="0"/>
      <charset val="1"/>
    </font>
    <font>
      <sz val="10"/>
      <color rgb="FF66666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2F5496"/>
      <name val="Cambria"/>
      <family val="0"/>
      <charset val="1"/>
    </font>
    <font>
      <sz val="11"/>
      <color rgb="FF006100"/>
      <name val="Cambria"/>
      <family val="0"/>
      <charset val="1"/>
    </font>
    <font>
      <sz val="11"/>
      <color rgb="FF9C6500"/>
      <name val="Cambria"/>
      <family val="0"/>
      <charset val="1"/>
    </font>
    <font>
      <sz val="10"/>
      <name val="Consolas"/>
      <family val="0"/>
      <charset val="1"/>
    </font>
    <font>
      <sz val="11"/>
      <color rgb="FF9C0006"/>
      <name val="Cambria"/>
      <family val="0"/>
      <charset val="1"/>
    </font>
    <font>
      <b val="true"/>
      <sz val="11"/>
      <color rgb="FF2F549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0070C0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F5496"/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49</v>
      </c>
      <c r="C5" s="5" t="n">
        <v>18</v>
      </c>
      <c r="D5" s="5" t="n">
        <f aca="false">B5+C5</f>
        <v>67</v>
      </c>
    </row>
    <row r="6" customFormat="false" ht="15" hidden="false" customHeight="false" outlineLevel="0" collapsed="false">
      <c r="A6" s="4" t="s">
        <v>7</v>
      </c>
      <c r="B6" s="5" t="n">
        <v>48</v>
      </c>
      <c r="C6" s="5" t="n">
        <v>17</v>
      </c>
      <c r="D6" s="5" t="n">
        <f aca="false">B6+C6</f>
        <v>65</v>
      </c>
    </row>
    <row r="7" customFormat="false" ht="15" hidden="false" customHeight="false" outlineLevel="0" collapsed="false">
      <c r="A7" s="4" t="s">
        <v>8</v>
      </c>
      <c r="B7" s="5" t="n">
        <v>1</v>
      </c>
      <c r="C7" s="5" t="n">
        <v>1</v>
      </c>
      <c r="D7" s="5" t="n">
        <f aca="false">B7+C7</f>
        <v>2</v>
      </c>
    </row>
    <row r="8" customFormat="false" ht="15" hidden="false" customHeight="false" outlineLevel="0" collapsed="false">
      <c r="A8" s="4" t="s">
        <v>9</v>
      </c>
      <c r="B8" s="5" t="n">
        <v>0</v>
      </c>
      <c r="C8" s="5" t="n">
        <v>0</v>
      </c>
      <c r="D8" s="5" t="n">
        <f aca="false">B8+C8</f>
        <v>0</v>
      </c>
    </row>
    <row r="9" customFormat="false" ht="15" hidden="false" customHeight="false" outlineLevel="0" collapsed="false">
      <c r="A9" s="4" t="s">
        <v>10</v>
      </c>
      <c r="B9" s="6" t="n">
        <f aca="false">B6/B5</f>
        <v>0.979591836734694</v>
      </c>
      <c r="C9" s="6" t="n">
        <f aca="false">C6/C5</f>
        <v>0.944444444444444</v>
      </c>
      <c r="D9" s="6" t="n">
        <f aca="false">D6/D5</f>
        <v>0.970149253731343</v>
      </c>
    </row>
    <row r="10" customFormat="false" ht="15" hidden="false" customHeight="false" outlineLevel="0" collapsed="false">
      <c r="A10" s="4" t="s">
        <v>11</v>
      </c>
      <c r="B10" s="5" t="n">
        <v>95</v>
      </c>
      <c r="C10" s="5" t="n">
        <v>65</v>
      </c>
      <c r="D10" s="5" t="n">
        <f aca="false">B10+C10</f>
        <v>160</v>
      </c>
    </row>
    <row r="11" customFormat="false" ht="15" hidden="false" customHeight="false" outlineLevel="0" collapsed="false">
      <c r="A11" s="4" t="s">
        <v>12</v>
      </c>
      <c r="B11" s="5" t="n">
        <v>476</v>
      </c>
      <c r="C11" s="5" t="n">
        <v>410</v>
      </c>
      <c r="D11" s="5" t="n">
        <f aca="false">B11+C11</f>
        <v>886</v>
      </c>
    </row>
    <row r="13" customFormat="false" ht="15" hidden="false" customHeight="false" outlineLevel="0" collapsed="false">
      <c r="A13" s="7" t="s">
        <v>13</v>
      </c>
      <c r="B13" s="7"/>
      <c r="C13" s="7"/>
      <c r="D13" s="7"/>
    </row>
    <row r="14" customFormat="false" ht="15" hidden="false" customHeight="false" outlineLevel="0" collapsed="false">
      <c r="A14" s="3" t="s">
        <v>14</v>
      </c>
      <c r="B14" s="3" t="s">
        <v>3</v>
      </c>
      <c r="C14" s="3" t="s">
        <v>4</v>
      </c>
      <c r="D14" s="3" t="s">
        <v>5</v>
      </c>
    </row>
    <row r="15" customFormat="false" ht="15" hidden="false" customHeight="false" outlineLevel="0" collapsed="false">
      <c r="A15" s="5" t="s">
        <v>15</v>
      </c>
      <c r="B15" s="5" t="n">
        <v>7</v>
      </c>
      <c r="C15" s="5" t="n">
        <v>2</v>
      </c>
      <c r="D15" s="5" t="n">
        <f aca="false">B15+C15</f>
        <v>9</v>
      </c>
    </row>
    <row r="16" customFormat="false" ht="15" hidden="false" customHeight="false" outlineLevel="0" collapsed="false">
      <c r="A16" s="5" t="s">
        <v>16</v>
      </c>
      <c r="B16" s="5" t="n">
        <v>4</v>
      </c>
      <c r="C16" s="5" t="n">
        <v>0</v>
      </c>
      <c r="D16" s="5" t="n">
        <f aca="false">B16+C16</f>
        <v>4</v>
      </c>
    </row>
    <row r="17" customFormat="false" ht="15" hidden="false" customHeight="false" outlineLevel="0" collapsed="false">
      <c r="A17" s="5" t="s">
        <v>17</v>
      </c>
      <c r="B17" s="5" t="n">
        <v>3</v>
      </c>
      <c r="C17" s="5" t="n">
        <v>2</v>
      </c>
      <c r="D17" s="5" t="n">
        <f aca="false">B17+C17</f>
        <v>5</v>
      </c>
    </row>
    <row r="18" customFormat="false" ht="15" hidden="false" customHeight="false" outlineLevel="0" collapsed="false">
      <c r="A18" s="5" t="s">
        <v>18</v>
      </c>
      <c r="B18" s="5" t="n">
        <v>6</v>
      </c>
      <c r="C18" s="5" t="n">
        <v>0</v>
      </c>
      <c r="D18" s="5" t="n">
        <f aca="false">B18+C18</f>
        <v>6</v>
      </c>
    </row>
    <row r="19" customFormat="false" ht="15" hidden="false" customHeight="false" outlineLevel="0" collapsed="false">
      <c r="A19" s="5" t="s">
        <v>19</v>
      </c>
      <c r="B19" s="5" t="n">
        <v>3</v>
      </c>
      <c r="C19" s="5" t="n">
        <v>0</v>
      </c>
      <c r="D19" s="5" t="n">
        <f aca="false">B19+C19</f>
        <v>3</v>
      </c>
    </row>
    <row r="20" customFormat="false" ht="15" hidden="false" customHeight="false" outlineLevel="0" collapsed="false">
      <c r="A20" s="5" t="s">
        <v>20</v>
      </c>
      <c r="B20" s="5" t="n">
        <v>9</v>
      </c>
      <c r="C20" s="5" t="n">
        <v>2</v>
      </c>
      <c r="D20" s="5" t="n">
        <f aca="false">B20+C20</f>
        <v>11</v>
      </c>
    </row>
    <row r="21" customFormat="false" ht="15" hidden="false" customHeight="false" outlineLevel="0" collapsed="false">
      <c r="A21" s="5" t="s">
        <v>21</v>
      </c>
      <c r="B21" s="5" t="n">
        <v>4</v>
      </c>
      <c r="C21" s="5" t="n">
        <v>1</v>
      </c>
      <c r="D21" s="5" t="n">
        <f aca="false">B21+C21</f>
        <v>5</v>
      </c>
    </row>
    <row r="22" customFormat="false" ht="15" hidden="false" customHeight="false" outlineLevel="0" collapsed="false">
      <c r="A22" s="5" t="s">
        <v>22</v>
      </c>
      <c r="B22" s="5" t="n">
        <v>6</v>
      </c>
      <c r="C22" s="5" t="n">
        <v>1</v>
      </c>
      <c r="D22" s="5" t="n">
        <f aca="false">B22+C22</f>
        <v>7</v>
      </c>
    </row>
    <row r="23" customFormat="false" ht="15" hidden="false" customHeight="false" outlineLevel="0" collapsed="false">
      <c r="A23" s="5" t="s">
        <v>23</v>
      </c>
      <c r="B23" s="5" t="n">
        <v>2</v>
      </c>
      <c r="C23" s="5" t="n">
        <v>3</v>
      </c>
      <c r="D23" s="5" t="n">
        <f aca="false">B23+C23</f>
        <v>5</v>
      </c>
    </row>
    <row r="24" customFormat="false" ht="15" hidden="false" customHeight="false" outlineLevel="0" collapsed="false">
      <c r="A24" s="5" t="s">
        <v>24</v>
      </c>
      <c r="B24" s="5" t="n">
        <v>3</v>
      </c>
      <c r="C24" s="5" t="n">
        <v>2</v>
      </c>
      <c r="D24" s="5" t="n">
        <f aca="false">B24+C24</f>
        <v>5</v>
      </c>
    </row>
    <row r="25" customFormat="false" ht="15" hidden="false" customHeight="false" outlineLevel="0" collapsed="false">
      <c r="A25" s="5" t="s">
        <v>25</v>
      </c>
      <c r="B25" s="5" t="n">
        <v>0</v>
      </c>
      <c r="C25" s="5" t="n">
        <v>4</v>
      </c>
      <c r="D25" s="5" t="n">
        <f aca="false">B25+C25</f>
        <v>4</v>
      </c>
    </row>
    <row r="26" customFormat="false" ht="15" hidden="false" customHeight="false" outlineLevel="0" collapsed="false">
      <c r="A26" s="4" t="s">
        <v>26</v>
      </c>
      <c r="B26" s="4" t="n">
        <f aca="false">SUM(B15:B25)</f>
        <v>47</v>
      </c>
      <c r="C26" s="4" t="n">
        <f aca="false">SUM(C15:C25)</f>
        <v>17</v>
      </c>
      <c r="D26" s="4" t="n">
        <f aca="false">SUM(D15:D25)</f>
        <v>64</v>
      </c>
    </row>
  </sheetData>
  <mergeCells count="3">
    <mergeCell ref="A1:F1"/>
    <mergeCell ref="A2:F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</row>
    <row r="2" customFormat="false" ht="15" hidden="false" customHeight="false" outlineLevel="0" collapsed="false">
      <c r="A2" s="5" t="n">
        <v>1</v>
      </c>
      <c r="B2" s="8" t="s">
        <v>32</v>
      </c>
      <c r="C2" s="8" t="s">
        <v>15</v>
      </c>
      <c r="D2" s="8" t="s">
        <v>33</v>
      </c>
      <c r="E2" s="9" t="s">
        <v>34</v>
      </c>
    </row>
    <row r="3" customFormat="false" ht="15" hidden="false" customHeight="false" outlineLevel="0" collapsed="false">
      <c r="A3" s="5" t="n">
        <v>2</v>
      </c>
      <c r="B3" s="8" t="s">
        <v>35</v>
      </c>
      <c r="C3" s="8" t="s">
        <v>15</v>
      </c>
      <c r="D3" s="8" t="s">
        <v>36</v>
      </c>
      <c r="E3" s="9" t="s">
        <v>34</v>
      </c>
    </row>
    <row r="4" customFormat="false" ht="15" hidden="false" customHeight="false" outlineLevel="0" collapsed="false">
      <c r="A4" s="5" t="n">
        <v>3</v>
      </c>
      <c r="B4" s="8" t="s">
        <v>37</v>
      </c>
      <c r="C4" s="8" t="s">
        <v>15</v>
      </c>
      <c r="D4" s="8" t="s">
        <v>38</v>
      </c>
      <c r="E4" s="9" t="s">
        <v>34</v>
      </c>
    </row>
    <row r="5" customFormat="false" ht="15" hidden="false" customHeight="false" outlineLevel="0" collapsed="false">
      <c r="A5" s="5" t="n">
        <v>4</v>
      </c>
      <c r="B5" s="8" t="s">
        <v>39</v>
      </c>
      <c r="C5" s="8" t="s">
        <v>15</v>
      </c>
      <c r="D5" s="8" t="s">
        <v>40</v>
      </c>
      <c r="E5" s="9" t="s">
        <v>34</v>
      </c>
    </row>
    <row r="6" customFormat="false" ht="15" hidden="false" customHeight="false" outlineLevel="0" collapsed="false">
      <c r="A6" s="5" t="n">
        <v>5</v>
      </c>
      <c r="B6" s="8" t="s">
        <v>41</v>
      </c>
      <c r="C6" s="8" t="s">
        <v>15</v>
      </c>
      <c r="D6" s="8" t="s">
        <v>42</v>
      </c>
      <c r="E6" s="9" t="s">
        <v>34</v>
      </c>
    </row>
    <row r="7" customFormat="false" ht="15" hidden="false" customHeight="false" outlineLevel="0" collapsed="false">
      <c r="A7" s="5" t="n">
        <v>6</v>
      </c>
      <c r="B7" s="8" t="s">
        <v>43</v>
      </c>
      <c r="C7" s="8" t="s">
        <v>15</v>
      </c>
      <c r="D7" s="8" t="s">
        <v>44</v>
      </c>
      <c r="E7" s="9" t="s">
        <v>34</v>
      </c>
    </row>
    <row r="8" customFormat="false" ht="15" hidden="false" customHeight="false" outlineLevel="0" collapsed="false">
      <c r="A8" s="5" t="n">
        <v>7</v>
      </c>
      <c r="B8" s="8" t="s">
        <v>45</v>
      </c>
      <c r="C8" s="8" t="s">
        <v>15</v>
      </c>
      <c r="D8" s="8" t="s">
        <v>46</v>
      </c>
      <c r="E8" s="9" t="s">
        <v>34</v>
      </c>
    </row>
    <row r="9" customFormat="false" ht="15" hidden="false" customHeight="false" outlineLevel="0" collapsed="false">
      <c r="A9" s="5" t="n">
        <v>8</v>
      </c>
      <c r="B9" s="8" t="s">
        <v>47</v>
      </c>
      <c r="C9" s="8" t="s">
        <v>16</v>
      </c>
      <c r="D9" s="8" t="s">
        <v>48</v>
      </c>
      <c r="E9" s="9" t="s">
        <v>34</v>
      </c>
    </row>
    <row r="10" customFormat="false" ht="15" hidden="false" customHeight="false" outlineLevel="0" collapsed="false">
      <c r="A10" s="5" t="n">
        <v>9</v>
      </c>
      <c r="B10" s="8" t="s">
        <v>49</v>
      </c>
      <c r="C10" s="8" t="s">
        <v>16</v>
      </c>
      <c r="D10" s="8" t="s">
        <v>50</v>
      </c>
      <c r="E10" s="9" t="s">
        <v>34</v>
      </c>
    </row>
    <row r="11" customFormat="false" ht="15" hidden="false" customHeight="false" outlineLevel="0" collapsed="false">
      <c r="A11" s="5" t="n">
        <v>10</v>
      </c>
      <c r="B11" s="8" t="s">
        <v>51</v>
      </c>
      <c r="C11" s="8" t="s">
        <v>16</v>
      </c>
      <c r="D11" s="8" t="s">
        <v>52</v>
      </c>
      <c r="E11" s="9" t="s">
        <v>34</v>
      </c>
    </row>
    <row r="12" customFormat="false" ht="15" hidden="false" customHeight="false" outlineLevel="0" collapsed="false">
      <c r="A12" s="5" t="n">
        <v>11</v>
      </c>
      <c r="B12" s="8" t="s">
        <v>53</v>
      </c>
      <c r="C12" s="8" t="s">
        <v>16</v>
      </c>
      <c r="D12" s="8" t="s">
        <v>54</v>
      </c>
      <c r="E12" s="9" t="s">
        <v>34</v>
      </c>
    </row>
    <row r="13" customFormat="false" ht="15" hidden="false" customHeight="false" outlineLevel="0" collapsed="false">
      <c r="A13" s="5" t="n">
        <v>12</v>
      </c>
      <c r="B13" s="8" t="s">
        <v>55</v>
      </c>
      <c r="C13" s="8" t="s">
        <v>17</v>
      </c>
      <c r="D13" s="8" t="s">
        <v>56</v>
      </c>
      <c r="E13" s="9" t="s">
        <v>34</v>
      </c>
    </row>
    <row r="14" customFormat="false" ht="15" hidden="false" customHeight="false" outlineLevel="0" collapsed="false">
      <c r="A14" s="5" t="n">
        <v>13</v>
      </c>
      <c r="B14" s="8" t="s">
        <v>51</v>
      </c>
      <c r="C14" s="8" t="s">
        <v>17</v>
      </c>
      <c r="D14" s="8" t="s">
        <v>52</v>
      </c>
      <c r="E14" s="9" t="s">
        <v>34</v>
      </c>
    </row>
    <row r="15" customFormat="false" ht="15" hidden="false" customHeight="false" outlineLevel="0" collapsed="false">
      <c r="A15" s="5" t="n">
        <v>14</v>
      </c>
      <c r="B15" s="8" t="s">
        <v>57</v>
      </c>
      <c r="C15" s="8" t="s">
        <v>17</v>
      </c>
      <c r="D15" s="8" t="s">
        <v>58</v>
      </c>
      <c r="E15" s="9" t="s">
        <v>34</v>
      </c>
    </row>
    <row r="16" customFormat="false" ht="15" hidden="false" customHeight="false" outlineLevel="0" collapsed="false">
      <c r="A16" s="5" t="n">
        <v>15</v>
      </c>
      <c r="B16" s="8" t="s">
        <v>59</v>
      </c>
      <c r="C16" s="8" t="s">
        <v>60</v>
      </c>
      <c r="D16" s="8" t="s">
        <v>61</v>
      </c>
      <c r="E16" s="9" t="s">
        <v>34</v>
      </c>
    </row>
    <row r="17" customFormat="false" ht="15" hidden="false" customHeight="false" outlineLevel="0" collapsed="false">
      <c r="A17" s="5" t="n">
        <v>16</v>
      </c>
      <c r="B17" s="8" t="s">
        <v>62</v>
      </c>
      <c r="C17" s="8" t="s">
        <v>60</v>
      </c>
      <c r="D17" s="8" t="s">
        <v>63</v>
      </c>
      <c r="E17" s="9" t="s">
        <v>34</v>
      </c>
    </row>
    <row r="18" customFormat="false" ht="15" hidden="false" customHeight="false" outlineLevel="0" collapsed="false">
      <c r="A18" s="5" t="n">
        <v>17</v>
      </c>
      <c r="B18" s="8" t="s">
        <v>64</v>
      </c>
      <c r="C18" s="8" t="s">
        <v>60</v>
      </c>
      <c r="D18" s="8" t="s">
        <v>65</v>
      </c>
      <c r="E18" s="9" t="s">
        <v>34</v>
      </c>
    </row>
    <row r="19" customFormat="false" ht="15" hidden="false" customHeight="false" outlineLevel="0" collapsed="false">
      <c r="A19" s="5" t="n">
        <v>18</v>
      </c>
      <c r="B19" s="8" t="s">
        <v>66</v>
      </c>
      <c r="C19" s="8" t="s">
        <v>67</v>
      </c>
      <c r="D19" s="8" t="s">
        <v>68</v>
      </c>
      <c r="E19" s="9" t="s">
        <v>34</v>
      </c>
    </row>
    <row r="20" customFormat="false" ht="15" hidden="false" customHeight="false" outlineLevel="0" collapsed="false">
      <c r="A20" s="5" t="n">
        <v>19</v>
      </c>
      <c r="B20" s="8" t="s">
        <v>62</v>
      </c>
      <c r="C20" s="8" t="s">
        <v>67</v>
      </c>
      <c r="D20" s="8" t="s">
        <v>69</v>
      </c>
      <c r="E20" s="9" t="s">
        <v>34</v>
      </c>
    </row>
    <row r="21" customFormat="false" ht="15" hidden="false" customHeight="false" outlineLevel="0" collapsed="false">
      <c r="A21" s="5" t="n">
        <v>20</v>
      </c>
      <c r="B21" s="8" t="s">
        <v>70</v>
      </c>
      <c r="C21" s="8" t="s">
        <v>67</v>
      </c>
      <c r="D21" s="8" t="s">
        <v>71</v>
      </c>
      <c r="E21" s="9" t="s">
        <v>34</v>
      </c>
    </row>
    <row r="22" customFormat="false" ht="15" hidden="false" customHeight="false" outlineLevel="0" collapsed="false">
      <c r="A22" s="5" t="n">
        <v>21</v>
      </c>
      <c r="B22" s="8" t="s">
        <v>72</v>
      </c>
      <c r="C22" s="8" t="s">
        <v>19</v>
      </c>
      <c r="D22" s="8" t="s">
        <v>73</v>
      </c>
      <c r="E22" s="9" t="s">
        <v>34</v>
      </c>
    </row>
    <row r="23" customFormat="false" ht="15" hidden="false" customHeight="false" outlineLevel="0" collapsed="false">
      <c r="A23" s="5" t="n">
        <v>22</v>
      </c>
      <c r="B23" s="8" t="s">
        <v>74</v>
      </c>
      <c r="C23" s="8" t="s">
        <v>19</v>
      </c>
      <c r="D23" s="8" t="s">
        <v>75</v>
      </c>
      <c r="E23" s="9" t="s">
        <v>34</v>
      </c>
    </row>
    <row r="24" customFormat="false" ht="15" hidden="false" customHeight="false" outlineLevel="0" collapsed="false">
      <c r="A24" s="5" t="n">
        <v>23</v>
      </c>
      <c r="B24" s="8" t="s">
        <v>76</v>
      </c>
      <c r="C24" s="8" t="s">
        <v>19</v>
      </c>
      <c r="D24" s="8" t="s">
        <v>77</v>
      </c>
      <c r="E24" s="9" t="s">
        <v>34</v>
      </c>
    </row>
    <row r="25" customFormat="false" ht="15" hidden="false" customHeight="false" outlineLevel="0" collapsed="false">
      <c r="A25" s="5" t="n">
        <v>24</v>
      </c>
      <c r="B25" s="8" t="s">
        <v>78</v>
      </c>
      <c r="C25" s="8" t="s">
        <v>79</v>
      </c>
      <c r="D25" s="8" t="s">
        <v>80</v>
      </c>
      <c r="E25" s="9" t="s">
        <v>34</v>
      </c>
    </row>
    <row r="26" customFormat="false" ht="15" hidden="false" customHeight="false" outlineLevel="0" collapsed="false">
      <c r="A26" s="5" t="n">
        <v>25</v>
      </c>
      <c r="B26" s="8" t="s">
        <v>81</v>
      </c>
      <c r="C26" s="8" t="s">
        <v>79</v>
      </c>
      <c r="D26" s="8" t="s">
        <v>82</v>
      </c>
      <c r="E26" s="9" t="s">
        <v>34</v>
      </c>
    </row>
    <row r="27" customFormat="false" ht="15" hidden="false" customHeight="false" outlineLevel="0" collapsed="false">
      <c r="A27" s="5" t="n">
        <v>26</v>
      </c>
      <c r="B27" s="8" t="s">
        <v>83</v>
      </c>
      <c r="C27" s="8" t="s">
        <v>79</v>
      </c>
      <c r="D27" s="8" t="s">
        <v>84</v>
      </c>
      <c r="E27" s="9" t="s">
        <v>34</v>
      </c>
    </row>
    <row r="28" customFormat="false" ht="15" hidden="false" customHeight="false" outlineLevel="0" collapsed="false">
      <c r="A28" s="5" t="n">
        <v>27</v>
      </c>
      <c r="B28" s="8" t="s">
        <v>85</v>
      </c>
      <c r="C28" s="8" t="s">
        <v>79</v>
      </c>
      <c r="D28" s="8" t="s">
        <v>86</v>
      </c>
      <c r="E28" s="9" t="s">
        <v>34</v>
      </c>
    </row>
    <row r="29" customFormat="false" ht="15" hidden="false" customHeight="false" outlineLevel="0" collapsed="false">
      <c r="A29" s="5" t="n">
        <v>28</v>
      </c>
      <c r="B29" s="8" t="s">
        <v>87</v>
      </c>
      <c r="C29" s="8" t="s">
        <v>79</v>
      </c>
      <c r="D29" s="8" t="s">
        <v>88</v>
      </c>
      <c r="E29" s="9" t="s">
        <v>34</v>
      </c>
    </row>
    <row r="30" customFormat="false" ht="15" hidden="false" customHeight="false" outlineLevel="0" collapsed="false">
      <c r="A30" s="5" t="n">
        <v>29</v>
      </c>
      <c r="B30" s="8" t="s">
        <v>89</v>
      </c>
      <c r="C30" s="8" t="s">
        <v>79</v>
      </c>
      <c r="D30" s="8" t="s">
        <v>90</v>
      </c>
      <c r="E30" s="9" t="s">
        <v>34</v>
      </c>
    </row>
    <row r="31" customFormat="false" ht="15" hidden="false" customHeight="false" outlineLevel="0" collapsed="false">
      <c r="A31" s="5" t="n">
        <v>30</v>
      </c>
      <c r="B31" s="8" t="s">
        <v>91</v>
      </c>
      <c r="C31" s="8" t="s">
        <v>79</v>
      </c>
      <c r="D31" s="8" t="s">
        <v>92</v>
      </c>
      <c r="E31" s="9" t="s">
        <v>34</v>
      </c>
    </row>
    <row r="32" customFormat="false" ht="15" hidden="false" customHeight="false" outlineLevel="0" collapsed="false">
      <c r="A32" s="5" t="n">
        <v>31</v>
      </c>
      <c r="B32" s="8" t="s">
        <v>93</v>
      </c>
      <c r="C32" s="8" t="s">
        <v>79</v>
      </c>
      <c r="D32" s="8" t="s">
        <v>94</v>
      </c>
      <c r="E32" s="9" t="s">
        <v>34</v>
      </c>
    </row>
    <row r="33" customFormat="false" ht="15" hidden="false" customHeight="false" outlineLevel="0" collapsed="false">
      <c r="A33" s="5" t="n">
        <v>32</v>
      </c>
      <c r="B33" s="8" t="s">
        <v>95</v>
      </c>
      <c r="C33" s="8" t="s">
        <v>79</v>
      </c>
      <c r="D33" s="8" t="s">
        <v>96</v>
      </c>
      <c r="E33" s="9" t="s">
        <v>34</v>
      </c>
    </row>
    <row r="34" customFormat="false" ht="15" hidden="false" customHeight="false" outlineLevel="0" collapsed="false">
      <c r="A34" s="5" t="n">
        <v>33</v>
      </c>
      <c r="B34" s="8" t="s">
        <v>97</v>
      </c>
      <c r="C34" s="8" t="s">
        <v>79</v>
      </c>
      <c r="D34" s="8" t="s">
        <v>98</v>
      </c>
      <c r="E34" s="9" t="s">
        <v>34</v>
      </c>
    </row>
    <row r="35" customFormat="false" ht="15" hidden="false" customHeight="false" outlineLevel="0" collapsed="false">
      <c r="A35" s="5" t="n">
        <v>34</v>
      </c>
      <c r="B35" s="8" t="s">
        <v>99</v>
      </c>
      <c r="C35" s="8" t="s">
        <v>21</v>
      </c>
      <c r="D35" s="8" t="s">
        <v>100</v>
      </c>
      <c r="E35" s="9" t="s">
        <v>34</v>
      </c>
    </row>
    <row r="36" customFormat="false" ht="15" hidden="false" customHeight="false" outlineLevel="0" collapsed="false">
      <c r="A36" s="5" t="n">
        <v>35</v>
      </c>
      <c r="B36" s="8" t="s">
        <v>101</v>
      </c>
      <c r="C36" s="8" t="s">
        <v>21</v>
      </c>
      <c r="D36" s="8" t="s">
        <v>102</v>
      </c>
      <c r="E36" s="9" t="s">
        <v>34</v>
      </c>
    </row>
    <row r="37" customFormat="false" ht="15" hidden="false" customHeight="false" outlineLevel="0" collapsed="false">
      <c r="A37" s="5" t="n">
        <v>36</v>
      </c>
      <c r="B37" s="8" t="s">
        <v>103</v>
      </c>
      <c r="C37" s="8" t="s">
        <v>21</v>
      </c>
      <c r="D37" s="8" t="s">
        <v>104</v>
      </c>
      <c r="E37" s="9" t="s">
        <v>34</v>
      </c>
    </row>
    <row r="38" customFormat="false" ht="15" hidden="false" customHeight="false" outlineLevel="0" collapsed="false">
      <c r="A38" s="5" t="n">
        <v>37</v>
      </c>
      <c r="B38" s="8" t="s">
        <v>91</v>
      </c>
      <c r="C38" s="8" t="s">
        <v>21</v>
      </c>
      <c r="D38" s="8" t="s">
        <v>92</v>
      </c>
      <c r="E38" s="9" t="s">
        <v>34</v>
      </c>
    </row>
    <row r="39" customFormat="false" ht="15" hidden="false" customHeight="false" outlineLevel="0" collapsed="false">
      <c r="A39" s="5" t="n">
        <v>38</v>
      </c>
      <c r="B39" s="8" t="s">
        <v>105</v>
      </c>
      <c r="C39" s="8" t="s">
        <v>22</v>
      </c>
      <c r="D39" s="8" t="s">
        <v>106</v>
      </c>
      <c r="E39" s="9" t="s">
        <v>34</v>
      </c>
    </row>
    <row r="40" customFormat="false" ht="15" hidden="false" customHeight="false" outlineLevel="0" collapsed="false">
      <c r="A40" s="5" t="n">
        <v>39</v>
      </c>
      <c r="B40" s="8" t="s">
        <v>107</v>
      </c>
      <c r="C40" s="8" t="s">
        <v>22</v>
      </c>
      <c r="D40" s="8" t="s">
        <v>108</v>
      </c>
      <c r="E40" s="9" t="s">
        <v>34</v>
      </c>
    </row>
    <row r="41" customFormat="false" ht="15" hidden="false" customHeight="false" outlineLevel="0" collapsed="false">
      <c r="A41" s="5" t="n">
        <v>40</v>
      </c>
      <c r="B41" s="8" t="s">
        <v>109</v>
      </c>
      <c r="C41" s="8" t="s">
        <v>22</v>
      </c>
      <c r="D41" s="8" t="s">
        <v>110</v>
      </c>
      <c r="E41" s="9" t="s">
        <v>34</v>
      </c>
    </row>
    <row r="42" customFormat="false" ht="15" hidden="false" customHeight="false" outlineLevel="0" collapsed="false">
      <c r="A42" s="5" t="n">
        <v>41</v>
      </c>
      <c r="B42" s="8" t="s">
        <v>111</v>
      </c>
      <c r="C42" s="8" t="s">
        <v>22</v>
      </c>
      <c r="D42" s="8" t="s">
        <v>112</v>
      </c>
      <c r="E42" s="9" t="s">
        <v>34</v>
      </c>
    </row>
    <row r="43" customFormat="false" ht="15" hidden="false" customHeight="false" outlineLevel="0" collapsed="false">
      <c r="A43" s="5" t="n">
        <v>42</v>
      </c>
      <c r="B43" s="8" t="s">
        <v>113</v>
      </c>
      <c r="C43" s="8" t="s">
        <v>22</v>
      </c>
      <c r="D43" s="8" t="s">
        <v>114</v>
      </c>
      <c r="E43" s="9" t="s">
        <v>34</v>
      </c>
    </row>
    <row r="44" customFormat="false" ht="15" hidden="false" customHeight="false" outlineLevel="0" collapsed="false">
      <c r="A44" s="5" t="n">
        <v>43</v>
      </c>
      <c r="B44" s="8" t="s">
        <v>115</v>
      </c>
      <c r="C44" s="8" t="s">
        <v>22</v>
      </c>
      <c r="D44" s="8" t="s">
        <v>116</v>
      </c>
      <c r="E44" s="9" t="s">
        <v>34</v>
      </c>
    </row>
    <row r="45" customFormat="false" ht="15" hidden="false" customHeight="false" outlineLevel="0" collapsed="false">
      <c r="A45" s="5" t="n">
        <v>44</v>
      </c>
      <c r="B45" s="8" t="s">
        <v>117</v>
      </c>
      <c r="C45" s="8" t="s">
        <v>22</v>
      </c>
      <c r="D45" s="8" t="s">
        <v>118</v>
      </c>
      <c r="E45" s="10" t="s">
        <v>119</v>
      </c>
    </row>
    <row r="46" customFormat="false" ht="15" hidden="false" customHeight="false" outlineLevel="0" collapsed="false">
      <c r="A46" s="5" t="n">
        <v>45</v>
      </c>
      <c r="B46" s="8" t="s">
        <v>120</v>
      </c>
      <c r="C46" s="8" t="s">
        <v>23</v>
      </c>
      <c r="D46" s="8" t="s">
        <v>121</v>
      </c>
      <c r="E46" s="9" t="s">
        <v>34</v>
      </c>
    </row>
    <row r="47" customFormat="false" ht="15" hidden="false" customHeight="false" outlineLevel="0" collapsed="false">
      <c r="A47" s="5" t="n">
        <v>46</v>
      </c>
      <c r="B47" s="8" t="s">
        <v>122</v>
      </c>
      <c r="C47" s="8" t="s">
        <v>23</v>
      </c>
      <c r="D47" s="8" t="s">
        <v>123</v>
      </c>
      <c r="E47" s="9" t="s">
        <v>34</v>
      </c>
    </row>
    <row r="48" customFormat="false" ht="15" hidden="false" customHeight="false" outlineLevel="0" collapsed="false">
      <c r="A48" s="5" t="n">
        <v>47</v>
      </c>
      <c r="B48" s="8" t="s">
        <v>124</v>
      </c>
      <c r="C48" s="8" t="s">
        <v>125</v>
      </c>
      <c r="D48" s="8" t="s">
        <v>126</v>
      </c>
      <c r="E48" s="9" t="s">
        <v>34</v>
      </c>
    </row>
    <row r="49" customFormat="false" ht="15" hidden="false" customHeight="false" outlineLevel="0" collapsed="false">
      <c r="A49" s="5" t="n">
        <v>48</v>
      </c>
      <c r="B49" s="8" t="s">
        <v>127</v>
      </c>
      <c r="C49" s="8" t="s">
        <v>125</v>
      </c>
      <c r="D49" s="8" t="s">
        <v>128</v>
      </c>
      <c r="E49" s="9" t="s">
        <v>34</v>
      </c>
    </row>
    <row r="50" customFormat="false" ht="15" hidden="false" customHeight="false" outlineLevel="0" collapsed="false">
      <c r="A50" s="5" t="n">
        <v>49</v>
      </c>
      <c r="B50" s="8" t="s">
        <v>85</v>
      </c>
      <c r="C50" s="8" t="s">
        <v>125</v>
      </c>
      <c r="D50" s="8" t="s">
        <v>129</v>
      </c>
      <c r="E50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70C0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</row>
    <row r="2" customFormat="false" ht="15" hidden="false" customHeight="false" outlineLevel="0" collapsed="false">
      <c r="A2" s="5" t="n">
        <v>1</v>
      </c>
      <c r="B2" s="8" t="s">
        <v>130</v>
      </c>
      <c r="C2" s="8" t="s">
        <v>131</v>
      </c>
      <c r="D2" s="8" t="s">
        <v>132</v>
      </c>
      <c r="E2" s="9" t="s">
        <v>34</v>
      </c>
    </row>
    <row r="3" customFormat="false" ht="15" hidden="false" customHeight="false" outlineLevel="0" collapsed="false">
      <c r="A3" s="5" t="n">
        <v>2</v>
      </c>
      <c r="B3" s="8" t="s">
        <v>133</v>
      </c>
      <c r="C3" s="8" t="s">
        <v>131</v>
      </c>
      <c r="D3" s="8" t="s">
        <v>134</v>
      </c>
      <c r="E3" s="9" t="s">
        <v>34</v>
      </c>
    </row>
    <row r="4" customFormat="false" ht="15" hidden="false" customHeight="false" outlineLevel="0" collapsed="false">
      <c r="A4" s="5" t="n">
        <v>3</v>
      </c>
      <c r="B4" s="8" t="s">
        <v>135</v>
      </c>
      <c r="C4" s="8" t="s">
        <v>136</v>
      </c>
      <c r="D4" s="8" t="s">
        <v>137</v>
      </c>
      <c r="E4" s="9" t="s">
        <v>34</v>
      </c>
    </row>
    <row r="5" customFormat="false" ht="15" hidden="false" customHeight="false" outlineLevel="0" collapsed="false">
      <c r="A5" s="5" t="n">
        <v>4</v>
      </c>
      <c r="B5" s="8" t="s">
        <v>138</v>
      </c>
      <c r="C5" s="8" t="s">
        <v>136</v>
      </c>
      <c r="D5" s="8" t="s">
        <v>139</v>
      </c>
      <c r="E5" s="10" t="s">
        <v>119</v>
      </c>
    </row>
    <row r="6" customFormat="false" ht="15" hidden="false" customHeight="false" outlineLevel="0" collapsed="false">
      <c r="A6" s="5" t="n">
        <v>5</v>
      </c>
      <c r="B6" s="8" t="s">
        <v>140</v>
      </c>
      <c r="C6" s="8" t="s">
        <v>17</v>
      </c>
      <c r="D6" s="8" t="s">
        <v>141</v>
      </c>
      <c r="E6" s="9" t="s">
        <v>34</v>
      </c>
    </row>
    <row r="7" customFormat="false" ht="15" hidden="false" customHeight="false" outlineLevel="0" collapsed="false">
      <c r="A7" s="5" t="n">
        <v>6</v>
      </c>
      <c r="B7" s="8" t="s">
        <v>57</v>
      </c>
      <c r="C7" s="8" t="s">
        <v>17</v>
      </c>
      <c r="D7" s="8" t="s">
        <v>142</v>
      </c>
      <c r="E7" s="9" t="s">
        <v>34</v>
      </c>
    </row>
    <row r="8" customFormat="false" ht="15" hidden="false" customHeight="false" outlineLevel="0" collapsed="false">
      <c r="A8" s="5" t="n">
        <v>7</v>
      </c>
      <c r="B8" s="8" t="s">
        <v>143</v>
      </c>
      <c r="C8" s="8" t="s">
        <v>144</v>
      </c>
      <c r="D8" s="8" t="s">
        <v>145</v>
      </c>
      <c r="E8" s="9" t="s">
        <v>34</v>
      </c>
    </row>
    <row r="9" customFormat="false" ht="15" hidden="false" customHeight="false" outlineLevel="0" collapsed="false">
      <c r="A9" s="5" t="n">
        <v>8</v>
      </c>
      <c r="B9" s="8" t="s">
        <v>146</v>
      </c>
      <c r="C9" s="8" t="s">
        <v>144</v>
      </c>
      <c r="D9" s="8" t="s">
        <v>147</v>
      </c>
      <c r="E9" s="9" t="s">
        <v>34</v>
      </c>
    </row>
    <row r="10" customFormat="false" ht="15" hidden="false" customHeight="false" outlineLevel="0" collapsed="false">
      <c r="A10" s="5" t="n">
        <v>9</v>
      </c>
      <c r="B10" s="8" t="s">
        <v>148</v>
      </c>
      <c r="C10" s="8" t="s">
        <v>23</v>
      </c>
      <c r="D10" s="8" t="s">
        <v>149</v>
      </c>
      <c r="E10" s="9" t="s">
        <v>34</v>
      </c>
    </row>
    <row r="11" customFormat="false" ht="15" hidden="false" customHeight="false" outlineLevel="0" collapsed="false">
      <c r="A11" s="5" t="n">
        <v>10</v>
      </c>
      <c r="B11" s="8" t="s">
        <v>150</v>
      </c>
      <c r="C11" s="8" t="s">
        <v>23</v>
      </c>
      <c r="D11" s="8" t="s">
        <v>151</v>
      </c>
      <c r="E11" s="9" t="s">
        <v>34</v>
      </c>
    </row>
    <row r="12" customFormat="false" ht="15" hidden="false" customHeight="false" outlineLevel="0" collapsed="false">
      <c r="A12" s="5" t="n">
        <v>11</v>
      </c>
      <c r="B12" s="8" t="s">
        <v>152</v>
      </c>
      <c r="C12" s="8" t="s">
        <v>23</v>
      </c>
      <c r="D12" s="8" t="s">
        <v>153</v>
      </c>
      <c r="E12" s="9" t="s">
        <v>34</v>
      </c>
    </row>
    <row r="13" customFormat="false" ht="15" hidden="false" customHeight="false" outlineLevel="0" collapsed="false">
      <c r="A13" s="5" t="n">
        <v>12</v>
      </c>
      <c r="B13" s="8" t="s">
        <v>154</v>
      </c>
      <c r="C13" s="8" t="s">
        <v>155</v>
      </c>
      <c r="D13" s="8" t="s">
        <v>156</v>
      </c>
      <c r="E13" s="9" t="s">
        <v>34</v>
      </c>
    </row>
    <row r="14" customFormat="false" ht="15" hidden="false" customHeight="false" outlineLevel="0" collapsed="false">
      <c r="A14" s="5" t="n">
        <v>13</v>
      </c>
      <c r="B14" s="8" t="s">
        <v>157</v>
      </c>
      <c r="C14" s="8" t="s">
        <v>155</v>
      </c>
      <c r="D14" s="8" t="s">
        <v>158</v>
      </c>
      <c r="E14" s="9" t="s">
        <v>34</v>
      </c>
    </row>
    <row r="15" customFormat="false" ht="15" hidden="false" customHeight="false" outlineLevel="0" collapsed="false">
      <c r="A15" s="5" t="n">
        <v>14</v>
      </c>
      <c r="B15" s="8" t="s">
        <v>159</v>
      </c>
      <c r="C15" s="8" t="s">
        <v>160</v>
      </c>
      <c r="D15" s="8" t="s">
        <v>161</v>
      </c>
      <c r="E15" s="9" t="s">
        <v>34</v>
      </c>
    </row>
    <row r="16" customFormat="false" ht="15" hidden="false" customHeight="false" outlineLevel="0" collapsed="false">
      <c r="A16" s="5" t="n">
        <v>15</v>
      </c>
      <c r="B16" s="8" t="s">
        <v>162</v>
      </c>
      <c r="C16" s="8" t="s">
        <v>163</v>
      </c>
      <c r="D16" s="8" t="s">
        <v>164</v>
      </c>
      <c r="E16" s="9" t="s">
        <v>34</v>
      </c>
    </row>
    <row r="17" customFormat="false" ht="15" hidden="false" customHeight="false" outlineLevel="0" collapsed="false">
      <c r="A17" s="5" t="n">
        <v>16</v>
      </c>
      <c r="B17" s="8" t="s">
        <v>165</v>
      </c>
      <c r="C17" s="8" t="s">
        <v>163</v>
      </c>
      <c r="D17" s="8" t="s">
        <v>166</v>
      </c>
      <c r="E17" s="9" t="s">
        <v>34</v>
      </c>
    </row>
    <row r="18" customFormat="false" ht="15" hidden="false" customHeight="false" outlineLevel="0" collapsed="false">
      <c r="A18" s="5" t="n">
        <v>17</v>
      </c>
      <c r="B18" s="8" t="s">
        <v>167</v>
      </c>
      <c r="C18" s="8" t="s">
        <v>163</v>
      </c>
      <c r="D18" s="8" t="s">
        <v>168</v>
      </c>
      <c r="E18" s="9" t="s">
        <v>34</v>
      </c>
    </row>
    <row r="19" customFormat="false" ht="15" hidden="false" customHeight="false" outlineLevel="0" collapsed="false">
      <c r="A19" s="5" t="n">
        <v>18</v>
      </c>
      <c r="B19" s="8" t="s">
        <v>169</v>
      </c>
      <c r="C19" s="8" t="s">
        <v>163</v>
      </c>
      <c r="D19" s="8" t="s">
        <v>170</v>
      </c>
      <c r="E19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3" t="s">
        <v>27</v>
      </c>
      <c r="B1" s="3" t="s">
        <v>171</v>
      </c>
      <c r="C1" s="3" t="s">
        <v>172</v>
      </c>
      <c r="D1" s="3" t="s">
        <v>173</v>
      </c>
      <c r="E1" s="3" t="s">
        <v>174</v>
      </c>
      <c r="F1" s="3" t="s">
        <v>175</v>
      </c>
    </row>
    <row r="2" customFormat="false" ht="15" hidden="false" customHeight="false" outlineLevel="0" collapsed="false">
      <c r="A2" s="5" t="n">
        <v>1</v>
      </c>
      <c r="B2" s="11" t="s">
        <v>176</v>
      </c>
      <c r="C2" s="5" t="s">
        <v>177</v>
      </c>
      <c r="D2" s="9" t="s">
        <v>178</v>
      </c>
      <c r="E2" s="9" t="s">
        <v>178</v>
      </c>
      <c r="F2" s="9" t="s">
        <v>178</v>
      </c>
    </row>
    <row r="3" customFormat="false" ht="15" hidden="false" customHeight="false" outlineLevel="0" collapsed="false">
      <c r="A3" s="5" t="n">
        <v>2</v>
      </c>
      <c r="B3" s="11" t="s">
        <v>16</v>
      </c>
      <c r="C3" s="5" t="s">
        <v>177</v>
      </c>
      <c r="D3" s="9" t="s">
        <v>178</v>
      </c>
      <c r="E3" s="9" t="s">
        <v>178</v>
      </c>
      <c r="F3" s="9" t="s">
        <v>178</v>
      </c>
    </row>
    <row r="4" customFormat="false" ht="15" hidden="false" customHeight="false" outlineLevel="0" collapsed="false">
      <c r="A4" s="5" t="n">
        <v>3</v>
      </c>
      <c r="B4" s="11" t="s">
        <v>179</v>
      </c>
      <c r="C4" s="5" t="s">
        <v>17</v>
      </c>
      <c r="D4" s="9" t="s">
        <v>178</v>
      </c>
      <c r="E4" s="9" t="s">
        <v>178</v>
      </c>
      <c r="F4" s="9" t="s">
        <v>178</v>
      </c>
    </row>
    <row r="5" customFormat="false" ht="15" hidden="false" customHeight="false" outlineLevel="0" collapsed="false">
      <c r="A5" s="5" t="n">
        <v>4</v>
      </c>
      <c r="B5" s="11" t="s">
        <v>180</v>
      </c>
      <c r="C5" s="5" t="s">
        <v>17</v>
      </c>
      <c r="D5" s="12" t="s">
        <v>181</v>
      </c>
      <c r="E5" s="9" t="s">
        <v>178</v>
      </c>
      <c r="F5" s="9" t="s">
        <v>178</v>
      </c>
    </row>
    <row r="6" customFormat="false" ht="15" hidden="false" customHeight="false" outlineLevel="0" collapsed="false">
      <c r="A6" s="5" t="n">
        <v>5</v>
      </c>
      <c r="B6" s="11" t="s">
        <v>60</v>
      </c>
      <c r="C6" s="5" t="s">
        <v>182</v>
      </c>
      <c r="D6" s="9" t="s">
        <v>178</v>
      </c>
      <c r="E6" s="12" t="s">
        <v>181</v>
      </c>
      <c r="F6" s="9" t="s">
        <v>178</v>
      </c>
    </row>
    <row r="7" customFormat="false" ht="15" hidden="false" customHeight="false" outlineLevel="0" collapsed="false">
      <c r="A7" s="5" t="n">
        <v>6</v>
      </c>
      <c r="B7" s="11" t="s">
        <v>67</v>
      </c>
      <c r="C7" s="5" t="s">
        <v>182</v>
      </c>
      <c r="D7" s="9" t="s">
        <v>178</v>
      </c>
      <c r="E7" s="12" t="s">
        <v>181</v>
      </c>
      <c r="F7" s="9" t="s">
        <v>178</v>
      </c>
    </row>
    <row r="8" customFormat="false" ht="15" hidden="false" customHeight="false" outlineLevel="0" collapsed="false">
      <c r="A8" s="5" t="n">
        <v>7</v>
      </c>
      <c r="B8" s="11" t="s">
        <v>183</v>
      </c>
      <c r="C8" s="5" t="s">
        <v>23</v>
      </c>
      <c r="D8" s="9" t="s">
        <v>178</v>
      </c>
      <c r="E8" s="9" t="s">
        <v>178</v>
      </c>
      <c r="F8" s="9" t="s">
        <v>178</v>
      </c>
    </row>
    <row r="9" customFormat="false" ht="15" hidden="false" customHeight="false" outlineLevel="0" collapsed="false">
      <c r="A9" s="5" t="n">
        <v>8</v>
      </c>
      <c r="B9" s="11" t="s">
        <v>184</v>
      </c>
      <c r="C9" s="5" t="s">
        <v>23</v>
      </c>
      <c r="D9" s="12" t="s">
        <v>181</v>
      </c>
      <c r="E9" s="12" t="s">
        <v>181</v>
      </c>
      <c r="F9" s="12" t="s">
        <v>181</v>
      </c>
    </row>
    <row r="10" customFormat="false" ht="15" hidden="false" customHeight="false" outlineLevel="0" collapsed="false">
      <c r="A10" s="5" t="n">
        <v>9</v>
      </c>
      <c r="B10" s="11" t="s">
        <v>185</v>
      </c>
      <c r="C10" s="5" t="s">
        <v>19</v>
      </c>
      <c r="D10" s="9" t="s">
        <v>178</v>
      </c>
      <c r="E10" s="9" t="s">
        <v>178</v>
      </c>
      <c r="F10" s="9" t="s">
        <v>178</v>
      </c>
    </row>
    <row r="11" customFormat="false" ht="15" hidden="false" customHeight="false" outlineLevel="0" collapsed="false">
      <c r="A11" s="5" t="n">
        <v>10</v>
      </c>
      <c r="B11" s="11" t="s">
        <v>186</v>
      </c>
      <c r="C11" s="5" t="s">
        <v>19</v>
      </c>
      <c r="D11" s="12" t="s">
        <v>181</v>
      </c>
      <c r="E11" s="12" t="s">
        <v>181</v>
      </c>
      <c r="F11" s="12" t="s">
        <v>181</v>
      </c>
    </row>
    <row r="12" customFormat="false" ht="15" hidden="false" customHeight="false" outlineLevel="0" collapsed="false">
      <c r="A12" s="5" t="n">
        <v>11</v>
      </c>
      <c r="B12" s="11" t="s">
        <v>187</v>
      </c>
      <c r="C12" s="5" t="s">
        <v>79</v>
      </c>
      <c r="D12" s="9" t="s">
        <v>178</v>
      </c>
      <c r="E12" s="9" t="s">
        <v>178</v>
      </c>
      <c r="F12" s="9" t="s">
        <v>178</v>
      </c>
    </row>
    <row r="13" customFormat="false" ht="15" hidden="false" customHeight="false" outlineLevel="0" collapsed="false">
      <c r="A13" s="5" t="n">
        <v>12</v>
      </c>
      <c r="B13" s="11" t="s">
        <v>188</v>
      </c>
      <c r="C13" s="5" t="s">
        <v>79</v>
      </c>
      <c r="D13" s="9" t="s">
        <v>178</v>
      </c>
      <c r="E13" s="9" t="s">
        <v>178</v>
      </c>
      <c r="F13" s="9" t="s">
        <v>178</v>
      </c>
    </row>
    <row r="14" customFormat="false" ht="15" hidden="false" customHeight="false" outlineLevel="0" collapsed="false">
      <c r="A14" s="5" t="n">
        <v>13</v>
      </c>
      <c r="B14" s="11" t="s">
        <v>189</v>
      </c>
      <c r="C14" s="5" t="s">
        <v>79</v>
      </c>
      <c r="D14" s="9" t="s">
        <v>178</v>
      </c>
      <c r="E14" s="9" t="s">
        <v>178</v>
      </c>
      <c r="F14" s="9" t="s">
        <v>178</v>
      </c>
    </row>
    <row r="15" customFormat="false" ht="15" hidden="false" customHeight="false" outlineLevel="0" collapsed="false">
      <c r="A15" s="5" t="n">
        <v>14</v>
      </c>
      <c r="B15" s="11" t="s">
        <v>190</v>
      </c>
      <c r="C15" s="5" t="s">
        <v>79</v>
      </c>
      <c r="D15" s="9" t="s">
        <v>178</v>
      </c>
      <c r="E15" s="9" t="s">
        <v>178</v>
      </c>
      <c r="F15" s="9" t="s">
        <v>178</v>
      </c>
    </row>
    <row r="16" customFormat="false" ht="15" hidden="false" customHeight="false" outlineLevel="0" collapsed="false">
      <c r="A16" s="5" t="n">
        <v>15</v>
      </c>
      <c r="B16" s="11" t="s">
        <v>191</v>
      </c>
      <c r="C16" s="5" t="s">
        <v>79</v>
      </c>
      <c r="D16" s="9" t="s">
        <v>178</v>
      </c>
      <c r="E16" s="12" t="s">
        <v>181</v>
      </c>
      <c r="F16" s="9" t="s">
        <v>178</v>
      </c>
    </row>
    <row r="17" customFormat="false" ht="15" hidden="false" customHeight="false" outlineLevel="0" collapsed="false">
      <c r="A17" s="5" t="n">
        <v>16</v>
      </c>
      <c r="B17" s="11" t="s">
        <v>192</v>
      </c>
      <c r="C17" s="5" t="s">
        <v>136</v>
      </c>
      <c r="D17" s="9" t="s">
        <v>178</v>
      </c>
      <c r="E17" s="9" t="s">
        <v>178</v>
      </c>
      <c r="F17" s="9" t="s">
        <v>178</v>
      </c>
    </row>
    <row r="18" customFormat="false" ht="15" hidden="false" customHeight="false" outlineLevel="0" collapsed="false">
      <c r="A18" s="5" t="n">
        <v>17</v>
      </c>
      <c r="B18" s="11" t="s">
        <v>193</v>
      </c>
      <c r="C18" s="5" t="s">
        <v>136</v>
      </c>
      <c r="D18" s="9" t="s">
        <v>178</v>
      </c>
      <c r="E18" s="9" t="s">
        <v>178</v>
      </c>
      <c r="F18" s="9" t="s">
        <v>178</v>
      </c>
    </row>
    <row r="19" customFormat="false" ht="15" hidden="false" customHeight="false" outlineLevel="0" collapsed="false">
      <c r="A19" s="5" t="n">
        <v>18</v>
      </c>
      <c r="B19" s="11" t="s">
        <v>194</v>
      </c>
      <c r="C19" s="5" t="s">
        <v>136</v>
      </c>
      <c r="D19" s="9" t="s">
        <v>178</v>
      </c>
      <c r="E19" s="12" t="s">
        <v>181</v>
      </c>
      <c r="F19" s="9" t="s">
        <v>178</v>
      </c>
    </row>
    <row r="20" customFormat="false" ht="15" hidden="false" customHeight="false" outlineLevel="0" collapsed="false">
      <c r="A20" s="5" t="n">
        <v>19</v>
      </c>
      <c r="B20" s="11" t="s">
        <v>195</v>
      </c>
      <c r="C20" s="5" t="s">
        <v>136</v>
      </c>
      <c r="D20" s="9" t="s">
        <v>178</v>
      </c>
      <c r="E20" s="12" t="s">
        <v>181</v>
      </c>
      <c r="F20" s="9" t="s">
        <v>178</v>
      </c>
    </row>
    <row r="21" customFormat="false" ht="15" hidden="false" customHeight="false" outlineLevel="0" collapsed="false">
      <c r="A21" s="5" t="n">
        <v>20</v>
      </c>
      <c r="B21" s="11" t="s">
        <v>196</v>
      </c>
      <c r="C21" s="5" t="s">
        <v>136</v>
      </c>
      <c r="D21" s="9" t="s">
        <v>178</v>
      </c>
      <c r="E21" s="12" t="s">
        <v>181</v>
      </c>
      <c r="F21" s="9" t="s">
        <v>178</v>
      </c>
    </row>
    <row r="22" customFormat="false" ht="15" hidden="false" customHeight="false" outlineLevel="0" collapsed="false">
      <c r="A22" s="5" t="n">
        <v>21</v>
      </c>
      <c r="B22" s="11" t="s">
        <v>197</v>
      </c>
      <c r="C22" s="5" t="s">
        <v>136</v>
      </c>
      <c r="D22" s="9" t="s">
        <v>178</v>
      </c>
      <c r="E22" s="12" t="s">
        <v>181</v>
      </c>
      <c r="F22" s="9" t="s">
        <v>178</v>
      </c>
    </row>
    <row r="23" customFormat="false" ht="15" hidden="false" customHeight="false" outlineLevel="0" collapsed="false">
      <c r="A23" s="5" t="n">
        <v>22</v>
      </c>
      <c r="B23" s="11" t="s">
        <v>198</v>
      </c>
      <c r="C23" s="5" t="s">
        <v>136</v>
      </c>
      <c r="D23" s="5" t="s">
        <v>119</v>
      </c>
      <c r="E23" s="5" t="s">
        <v>119</v>
      </c>
      <c r="F23" s="5" t="s">
        <v>119</v>
      </c>
    </row>
    <row r="24" customFormat="false" ht="15" hidden="false" customHeight="false" outlineLevel="0" collapsed="false">
      <c r="A24" s="5" t="n">
        <v>23</v>
      </c>
      <c r="B24" s="11" t="s">
        <v>199</v>
      </c>
      <c r="C24" s="5" t="s">
        <v>136</v>
      </c>
      <c r="D24" s="12" t="s">
        <v>181</v>
      </c>
      <c r="E24" s="12" t="s">
        <v>181</v>
      </c>
      <c r="F24" s="12" t="s">
        <v>181</v>
      </c>
    </row>
    <row r="25" customFormat="false" ht="15" hidden="false" customHeight="false" outlineLevel="0" collapsed="false">
      <c r="A25" s="5" t="n">
        <v>24</v>
      </c>
      <c r="B25" s="11" t="s">
        <v>200</v>
      </c>
      <c r="C25" s="5" t="s">
        <v>201</v>
      </c>
      <c r="D25" s="9" t="s">
        <v>178</v>
      </c>
      <c r="E25" s="12" t="s">
        <v>181</v>
      </c>
      <c r="F25" s="9" t="s">
        <v>178</v>
      </c>
    </row>
    <row r="26" customFormat="false" ht="15" hidden="false" customHeight="false" outlineLevel="0" collapsed="false">
      <c r="A26" s="5" t="n">
        <v>25</v>
      </c>
      <c r="B26" s="11" t="s">
        <v>202</v>
      </c>
      <c r="C26" s="5" t="s">
        <v>201</v>
      </c>
      <c r="D26" s="9" t="s">
        <v>178</v>
      </c>
      <c r="E26" s="12" t="s">
        <v>181</v>
      </c>
      <c r="F26" s="9" t="s">
        <v>178</v>
      </c>
    </row>
    <row r="27" customFormat="false" ht="15" hidden="false" customHeight="false" outlineLevel="0" collapsed="false">
      <c r="A27" s="5" t="n">
        <v>26</v>
      </c>
      <c r="B27" s="11" t="s">
        <v>203</v>
      </c>
      <c r="C27" s="5" t="s">
        <v>201</v>
      </c>
      <c r="D27" s="9" t="s">
        <v>178</v>
      </c>
      <c r="E27" s="9" t="s">
        <v>178</v>
      </c>
      <c r="F27" s="9" t="s">
        <v>178</v>
      </c>
    </row>
    <row r="28" customFormat="false" ht="15" hidden="false" customHeight="false" outlineLevel="0" collapsed="false">
      <c r="A28" s="5" t="n">
        <v>27</v>
      </c>
      <c r="B28" s="11" t="s">
        <v>204</v>
      </c>
      <c r="C28" s="5" t="s">
        <v>201</v>
      </c>
      <c r="D28" s="9" t="s">
        <v>178</v>
      </c>
      <c r="E28" s="12" t="s">
        <v>181</v>
      </c>
      <c r="F28" s="9" t="s">
        <v>178</v>
      </c>
    </row>
    <row r="29" customFormat="false" ht="15" hidden="false" customHeight="false" outlineLevel="0" collapsed="false">
      <c r="A29" s="5" t="n">
        <v>28</v>
      </c>
      <c r="B29" s="11" t="s">
        <v>205</v>
      </c>
      <c r="C29" s="5" t="s">
        <v>201</v>
      </c>
      <c r="D29" s="12" t="s">
        <v>181</v>
      </c>
      <c r="E29" s="9" t="s">
        <v>178</v>
      </c>
      <c r="F29" s="9" t="s">
        <v>178</v>
      </c>
    </row>
    <row r="30" customFormat="false" ht="15" hidden="false" customHeight="false" outlineLevel="0" collapsed="false">
      <c r="A30" s="5" t="n">
        <v>29</v>
      </c>
      <c r="B30" s="11" t="s">
        <v>206</v>
      </c>
      <c r="C30" s="5" t="s">
        <v>207</v>
      </c>
      <c r="D30" s="12" t="s">
        <v>181</v>
      </c>
      <c r="E30" s="12" t="s">
        <v>181</v>
      </c>
      <c r="F30" s="12" t="s">
        <v>181</v>
      </c>
    </row>
    <row r="31" customFormat="false" ht="15" hidden="false" customHeight="false" outlineLevel="0" collapsed="false">
      <c r="A31" s="5" t="n">
        <v>30</v>
      </c>
      <c r="B31" s="11" t="s">
        <v>208</v>
      </c>
      <c r="C31" s="5" t="s">
        <v>207</v>
      </c>
      <c r="D31" s="12" t="s">
        <v>181</v>
      </c>
      <c r="E31" s="12" t="s">
        <v>181</v>
      </c>
      <c r="F31" s="12" t="s">
        <v>181</v>
      </c>
    </row>
    <row r="32" customFormat="false" ht="15" hidden="false" customHeight="false" outlineLevel="0" collapsed="false">
      <c r="A32" s="5" t="n">
        <v>31</v>
      </c>
      <c r="B32" s="11" t="s">
        <v>209</v>
      </c>
      <c r="C32" s="5" t="s">
        <v>207</v>
      </c>
      <c r="D32" s="12" t="s">
        <v>181</v>
      </c>
      <c r="E32" s="12" t="s">
        <v>181</v>
      </c>
      <c r="F32" s="12" t="s">
        <v>181</v>
      </c>
    </row>
    <row r="33" customFormat="false" ht="15" hidden="false" customHeight="false" outlineLevel="0" collapsed="false">
      <c r="A33" s="5" t="n">
        <v>32</v>
      </c>
      <c r="B33" s="11" t="s">
        <v>210</v>
      </c>
      <c r="C33" s="5" t="s">
        <v>207</v>
      </c>
      <c r="D33" s="9" t="s">
        <v>178</v>
      </c>
      <c r="E33" s="9" t="s">
        <v>178</v>
      </c>
      <c r="F33" s="9" t="s">
        <v>178</v>
      </c>
    </row>
    <row r="34" customFormat="false" ht="15" hidden="false" customHeight="false" outlineLevel="0" collapsed="false">
      <c r="A34" s="5" t="n">
        <v>33</v>
      </c>
      <c r="B34" s="11" t="s">
        <v>211</v>
      </c>
      <c r="C34" s="5" t="s">
        <v>207</v>
      </c>
      <c r="D34" s="9" t="s">
        <v>178</v>
      </c>
      <c r="E34" s="9" t="s">
        <v>178</v>
      </c>
      <c r="F34" s="9" t="s">
        <v>178</v>
      </c>
    </row>
    <row r="35" customFormat="false" ht="15" hidden="false" customHeight="false" outlineLevel="0" collapsed="false">
      <c r="A35" s="5" t="n">
        <v>34</v>
      </c>
      <c r="B35" s="11" t="s">
        <v>212</v>
      </c>
      <c r="C35" s="5" t="s">
        <v>207</v>
      </c>
      <c r="D35" s="12" t="s">
        <v>181</v>
      </c>
      <c r="E35" s="12" t="s">
        <v>181</v>
      </c>
      <c r="F35" s="12" t="s">
        <v>181</v>
      </c>
    </row>
    <row r="36" customFormat="false" ht="15" hidden="false" customHeight="false" outlineLevel="0" collapsed="false">
      <c r="A36" s="5" t="n">
        <v>35</v>
      </c>
      <c r="B36" s="11" t="s">
        <v>213</v>
      </c>
      <c r="C36" s="5" t="s">
        <v>207</v>
      </c>
      <c r="D36" s="9" t="s">
        <v>178</v>
      </c>
      <c r="E36" s="12" t="s">
        <v>181</v>
      </c>
      <c r="F36" s="9" t="s">
        <v>178</v>
      </c>
    </row>
    <row r="37" customFormat="false" ht="15" hidden="false" customHeight="false" outlineLevel="0" collapsed="false">
      <c r="A37" s="5" t="n">
        <v>36</v>
      </c>
      <c r="B37" s="11" t="s">
        <v>214</v>
      </c>
      <c r="C37" s="5" t="s">
        <v>207</v>
      </c>
      <c r="D37" s="12" t="s">
        <v>181</v>
      </c>
      <c r="E37" s="12" t="s">
        <v>181</v>
      </c>
      <c r="F37" s="12" t="s">
        <v>181</v>
      </c>
    </row>
    <row r="38" customFormat="false" ht="15" hidden="false" customHeight="false" outlineLevel="0" collapsed="false">
      <c r="A38" s="5" t="n">
        <v>37</v>
      </c>
      <c r="B38" s="11" t="s">
        <v>215</v>
      </c>
      <c r="C38" s="5" t="s">
        <v>163</v>
      </c>
      <c r="D38" s="12" t="s">
        <v>181</v>
      </c>
      <c r="E38" s="9" t="s">
        <v>178</v>
      </c>
      <c r="F38" s="9" t="s">
        <v>178</v>
      </c>
    </row>
    <row r="39" customFormat="false" ht="15" hidden="false" customHeight="false" outlineLevel="0" collapsed="false">
      <c r="A39" s="5" t="n">
        <v>38</v>
      </c>
      <c r="B39" s="11" t="s">
        <v>216</v>
      </c>
      <c r="C39" s="5" t="s">
        <v>163</v>
      </c>
      <c r="D39" s="12" t="s">
        <v>181</v>
      </c>
      <c r="E39" s="9" t="s">
        <v>178</v>
      </c>
      <c r="F39" s="9" t="s">
        <v>178</v>
      </c>
    </row>
    <row r="40" customFormat="false" ht="15" hidden="false" customHeight="false" outlineLevel="0" collapsed="false">
      <c r="A40" s="5" t="n">
        <v>39</v>
      </c>
      <c r="B40" s="11" t="s">
        <v>217</v>
      </c>
      <c r="C40" s="5" t="s">
        <v>163</v>
      </c>
      <c r="D40" s="12" t="s">
        <v>181</v>
      </c>
      <c r="E40" s="9" t="s">
        <v>178</v>
      </c>
      <c r="F40" s="9" t="s">
        <v>178</v>
      </c>
    </row>
    <row r="41" customFormat="false" ht="15" hidden="false" customHeight="false" outlineLevel="0" collapsed="false">
      <c r="A41" s="5" t="n">
        <v>40</v>
      </c>
      <c r="B41" s="11" t="s">
        <v>218</v>
      </c>
      <c r="C41" s="5" t="s">
        <v>219</v>
      </c>
      <c r="D41" s="12" t="s">
        <v>181</v>
      </c>
      <c r="E41" s="9" t="s">
        <v>178</v>
      </c>
      <c r="F41" s="9" t="s">
        <v>178</v>
      </c>
    </row>
    <row r="42" customFormat="false" ht="15" hidden="false" customHeight="false" outlineLevel="0" collapsed="false">
      <c r="A42" s="5" t="n">
        <v>41</v>
      </c>
      <c r="B42" s="11" t="s">
        <v>220</v>
      </c>
      <c r="C42" s="5" t="s">
        <v>219</v>
      </c>
      <c r="D42" s="12" t="s">
        <v>181</v>
      </c>
      <c r="E42" s="12" t="s">
        <v>181</v>
      </c>
      <c r="F42" s="12" t="s">
        <v>181</v>
      </c>
    </row>
    <row r="43" customFormat="false" ht="15" hidden="false" customHeight="false" outlineLevel="0" collapsed="false">
      <c r="B43" s="13" t="s">
        <v>221</v>
      </c>
      <c r="D43" s="0" t="n">
        <f aca="false">COUNTIF(D2:D42,"Y")</f>
        <v>25</v>
      </c>
      <c r="E43" s="0" t="n">
        <f aca="false">COUNTIF(E2:E42,"Y")</f>
        <v>20</v>
      </c>
      <c r="F43" s="0" t="n">
        <f aca="false">COUNTIF(F2:F42,"Y")</f>
        <v>31</v>
      </c>
    </row>
    <row r="44" customFormat="false" ht="15" hidden="false" customHeight="false" outlineLevel="0" collapsed="false">
      <c r="B44" s="13" t="s">
        <v>222</v>
      </c>
      <c r="D44" s="0" t="n">
        <v>41</v>
      </c>
      <c r="E44" s="0" t="n">
        <v>41</v>
      </c>
      <c r="F44" s="0" t="n">
        <v>41</v>
      </c>
    </row>
    <row r="45" customFormat="false" ht="15" hidden="false" customHeight="false" outlineLevel="0" collapsed="false">
      <c r="B45" s="14" t="s">
        <v>223</v>
      </c>
      <c r="D45" s="15" t="n">
        <f aca="false">D43/D44</f>
        <v>0.609756097560976</v>
      </c>
      <c r="E45" s="15" t="n">
        <f aca="false">E43/E44</f>
        <v>0.487804878048781</v>
      </c>
      <c r="F45" s="15" t="n">
        <f aca="false">F43/F44</f>
        <v>0.75609756097561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2026-03-27T02:34:18Z</dcterms:created>
  <dc:creator>openpyxl</dc:creator>
  <dc:description/>
  <dc:language>en-US</dc:language>
  <cp:lastModifiedBy/>
  <dcterms:modified xsi:type="dcterms:W3CDTF">2026-03-27T02:34:18Z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